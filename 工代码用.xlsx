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2025-10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<sst xmlns="http://schemas.openxmlformats.org/spreadsheetml/2006/main" count="50" uniqueCount="50">
  <si>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住户</t>
  </si>
  <si>
    <t>抄表水</t>
  </si>
  <si>
    <t>上月水</t>
  </si>
  <si>
    <t>水加差</t>
  </si>
  <si>
    <t>water</t>
  </si>
  <si>
    <t>抄表电</t>
  </si>
  <si>
    <t>上月电</t>
  </si>
  <si>
    <t>电加差</t>
  </si>
  <si>
    <t>electric</t>
  </si>
  <si>
    <t>manage</t>
  </si>
  <si>
    <t>totalWater</t>
  </si>
  <si>
    <t>totalEle</t>
  </si>
  <si>
    <t>month</t>
  </si>
  <si>
    <t>mon</t>
  </si>
  <si>
    <t>monthReal2</t>
  </si>
  <si>
    <t>总费用</t>
  </si>
  <si>
    <t>其他费用</t>
  </si>
  <si>
    <t>水单价</t>
  </si>
  <si>
    <t>电单价</t>
  </si>
  <si>
    <t>单据发送时间：monthReal2
水电费缴费的月份：month
住户
mon水表值：抄表水  
month水表值：上月水
水分摊：水加差  
水价格：水单价
month用水量：water 
水费：totalWater 
mon电表值：抄表电  
month电表值：上月电
电分摊：电加差  
电价格：电单价
month用电量：electric
电费：totalEle
管理费：manage
总额：总费用</t>
  </si>
  <si>
    <t>A1</t>
  </si>
  <si>
    <t>单据发送时间：2025年11月
水电费缴费的月份：2025年10月
A1
2025年11月水表值：1168  
2025年10月水表值：1117
水分摊：1  
水价格：4.3
2025年10月用水量：52 
水费：223.6 
2025年11月电表值：3439  
2025年10月电表值：3057
电分摊：10  
电价格：0.72
2025年10月用电量：392
电费：282.24
管理费：9
总额：514.84</t>
  </si>
  <si>
    <t>A2</t>
  </si>
  <si>
    <t>单据发送时间：2025年11月
水电费缴费的月份：2025年10月
A2
2025年11月水表值：2498  
2025年10月水表值：2491
水分摊：1  
水价格：4.3
2025年10月用水量：8 
水费：34.4 
2025年11月电表值：6984  
2025年10月电表值：6567
电分摊：10  
电价格：0.72
2025年10月用电量：427
电费：307.44
管理费：9
总额：350.84</t>
  </si>
  <si>
    <t>单据发送时间：2025年11月
水电费缴费的月份：2025年10月
101
2025年11月水表值：2893  
2025年10月水表值：2870
水分摊：1  
水价格：4.3
2025年10月用水量：24 
水费：103.2 
2025年11月电表值：7660  
2025年10月电表值：7264
电分摊：10  
电价格：0.72
2025年10月用电量：406
电费：292.32
管理费：22
总额：417.52</t>
  </si>
  <si>
    <t>单据发送时间：2025年11月
水电费缴费的月份：2025年10月
103
2025年11月水表值：1699  
2025年10月水表值：1694
水分摊：1  
水价格：4.3
2025年10月用水量：6 
水费：25.8 
2025年11月电表值：1381  
2025年10月电表值：1001
电分摊：10  
电价格：0.72
2025年10月用电量：390
电费：280.8
管理费：22
总额：328.6</t>
  </si>
  <si>
    <t>单据发送时间：2025年11月
水电费缴费的月份：2025年10月
201
2025年11月水表值：1626  
2025年10月水表值：1616
水分摊：1  
水价格：4.3
2025年10月用水量：11 
水费：47.3 
2025年11月电表值：6056  
2025年10月电表值：5969
电分摊：10  
电价格：0.72
2025年10月用电量：97
电费：69.84
管理费：22
总额：139.14</t>
  </si>
  <si>
    <t>单据发送时间：2025年11月
水电费缴费的月份：2025年10月
202
2025年11月水表值：1887  
2025年10月水表值：1875
水分摊：1  
水价格：4.3
2025年10月用水量：13 
水费：55.9 
2025年11月电表值：1371  
2025年10月电表值：1250
电分摊：10  
电价格：0.72
2025年10月用电量：131
电费：94.32
管理费：22
总额：172.22</t>
  </si>
  <si>
    <t>单据发送时间：2025年11月
水电费缴费的月份：2025年10月
203
2025年11月水表值：1202  
2025年10月水表值：1199
水分摊：1  
水价格：4.3
2025年10月用水量：4 
水费：17.2 
2025年11月电表值：2824  
2025年10月电表值：2824
电分摊：10  
电价格：0.72
2025年10月用电量：10
电费：7.2
管理费：22
总额：46.4</t>
  </si>
  <si>
    <t>单据发送时间：2025年11月
水电费缴费的月份：2025年10月
204
2025年11月水表值：1278  
2025年10月水表值：1278
水分摊：1  
水价格：4.3
2025年10月用水量：1 
水费：4.3 
2025年11月电表值：7719  
2025年10月电表值：7719
电分摊：10  
电价格：0.72
2025年10月用电量：10
电费：7.2
管理费：22
总额：33.5</t>
  </si>
  <si>
    <t>单据发送时间：2025年11月
水电费缴费的月份：2025年10月
301
2025年11月水表值：1811  
2025年10月水表值：1807
水分摊：1  
水价格：4.3
2025年10月用水量：5 
水费：21.5 
2025年11月电表值：8563  
2025年10月电表值：8378
电分摊：10  
电价格：0.72
2025年10月用电量：195
电费：140.4
管理费：22
总额：183.9</t>
  </si>
  <si>
    <t>单据发送时间：2025年11月
水电费缴费的月份：2025年10月
302
2025年11月水表值：2695  
2025年10月水表值：2681
水分摊：1  
水价格：4.3
2025年10月用水量：15 
水费：64.5 
2025年11月电表值：6363  
2025年10月电表值：6140
电分摊：10  
电价格：0.72
2025年10月用电量：233
电费：167.76
管理费：22
总额：254.26</t>
  </si>
  <si>
    <t>单据发送时间：2025年11月
水电费缴费的月份：2025年10月
401
2025年11月水表值：2710  
2025年10月水表值：2710
水分摊：1  
水价格：4.3
2025年10月用水量：1 
水费：4.3 
2025年11月电表值：4158  
2025年10月电表值：3794
电分摊：10  
电价格：0.72
2025年10月用电量：374
电费：269.28
管理费：22
总额：295.58</t>
  </si>
  <si>
    <t>单据发送时间：2025年11月
水电费缴费的月份：2025年10月
402
2025年11月水表值：2984  
2025年10月水表值：2975
水分摊：1  
水价格：4.3
2025年10月用水量：10 
水费：43 
2025年11月电表值：10240  
2025年10月电表值：9718
电分摊：10  
电价格：0.72
2025年10月用电量：532
电费：383.04
管理费：22
总额：448.04</t>
  </si>
  <si>
    <t>单据发送时间：2025年11月
水电费缴费的月份：2025年10月
501
2025年11月水表值：180  
2025年10月水表值：171
水分摊：1  
水价格：4.3
2025年10月用水量：10 
水费：43 
2025年11月电表值：7665  
2025年10月电表值：7598
电分摊：10  
电价格：0.72
2025年10月用电量：77
电费：55.44
管理费：22
总额：120.44</t>
  </si>
  <si>
    <t>单据发送时间：2025年11月
水电费缴费的月份：2025年10月
502
2025年11月水表值：1078  
2025年10月水表值：1078
水分摊：1  
水价格：4.3
2025年10月用水量：1 
水费：4.3 
2025年11月电表值：5301  
2025年10月电表值：5252
电分摊：10  
电价格：0.72
2025年10月用电量：59
电费：42.48
管理费：22
总额：68.78</t>
  </si>
  <si>
    <t>单据发送时间：2025年11月
水电费缴费的月份：2025年10月
503
2025年11月水表值：961  
2025年10月水表值：954
水分摊：1  
水价格：4.3
2025年10月用水量：8 
水费：34.4 
2025年11月电表值：7673  
2025年10月电表值：7560
电分摊：10  
电价格：0.72
2025年10月用电量：123
电费：88.56
管理费：22
总额：144.96</t>
  </si>
  <si>
    <t>单据发送时间：2025年11月
水电费缴费的月份：2025年10月
504
2025年11月水表值：1434  
2025年10月水表值：1428
水分摊：1  
水价格：4.3
2025年10月用水量：7 
水费：30.1 
2025年11月电表值：1170  
2025年10月电表值：1025
电分摊：10  
电价格：0.72
2025年10月用电量：155
电费：111.6
管理费：22
总额：163.7</t>
  </si>
  <si>
    <t>单据发送时间：2025年11月
水电费缴费的月份：2025年10月
601
2025年11月水表值：2200  
2025年10月水表值：2196
水分摊：1  
水价格：4.3
2025年10月用水量：5 
水费：21.5 
2025年11月电表值：7544  
2025年10月电表值：7433
电分摊：10  
电价格：0.72
2025年10月用电量：121
电费：87.12
管理费：22
总额：130.62</t>
  </si>
  <si>
    <t>单据发送时间：2025年11月
水电费缴费的月份：2025年10月
602
2025年11月水表值：352  
2025年10月水表值：349
水分摊：1  
水价格：4.3
2025年10月用水量：4 
水费：17.2 
2025年11月电表值：8184  
2025年10月电表值：8113
电分摊：10  
电价格：0.72
2025年10月用电量：81
电费：58.32
管理费：22
总额：97.52</t>
  </si>
  <si>
    <t>单据发送时间：2025年11月
水电费缴费的月份：2025年10月
603
2025年11月水表值：1534  
2025年10月水表值：1517
水分摊：1  
水价格：4.3
2025年10月用水量：18 
水费：77.4 
2025年11月电表值：6879  
2025年10月电表值：6783
电分摊：10  
电价格：0.72
2025年10月用电量：106
电费：76.32
管理费：22
总额：175.72</t>
  </si>
  <si>
    <t>单据发送时间：2025年11月
水电费缴费的月份：2025年10月
604
2025年11月水表值：693  
2025年10月水表值：693
水分摊：1  
水价格：4.3
2025年10月用水量：1 
水费：4.3 
2025年11月电表值：5656  
2025年10月电表值：5656
电分摊：10  
电价格：0.72
2025年10月用电量：10
电费：7.2
管理费：22
总额：33.5</t>
  </si>
  <si>
    <t>单据发送时间：2025年11月
水电费缴费的月份：2025年10月
701
2025年11月水表值：233  
2025年10月水表值：224
水分摊：1  
水价格：4.3
2025年10月用水量：10 
水费：43 
2025年11月电表值：1439  
2025年10月电表值：1192
电分摊：10  
电价格：0.72
2025年10月用电量：257
电费：185.04
管理费：22
总额：250.04</t>
  </si>
  <si>
    <t>单据发送时间：2025年11月
水电费缴费的月份：2025年10月
702
2025年11月水表值：1540  
2025年10月水表值：1536
水分摊：1  
水价格：4.3
2025年10月用水量：5 
水费：21.5 
2025年11月电表值：2457  
2025年10月电表值：2451
电分摊：10  
电价格：0.72
2025年10月用电量：16
电费：11.52
管理费：22
总额：55.02</t>
  </si>
  <si>
    <t>单据发送时间：2025年11月
水电费缴费的月份：2025年10月
703
2025年11月水表值：1455  
2025年10月水表值：1454
水分摊：1  
水价格：4.3
2025年10月用水量：2 
水费：8.6 
2025年11月电表值：4248  
2025年10月电表值：4111
电分摊：10  
电价格：0.72
2025年10月用电量：147
电费：105.84
管理费：22
总额：136.44</t>
  </si>
  <si>
    <t>单据发送时间：2025年11月
水电费缴费的月份：2025年10月
801
2025年11月水表值：217  
2025年10月水表值：209
水分摊：1  
水价格：4.3
2025年10月用水量：9 
水费：38.7 
2025年11月电表值：7290  
2025年10月电表值：7163
电分摊：10  
电价格：0.72
2025年10月用电量：137
电费：98.64
管理费：22
总额：159.34</t>
  </si>
  <si>
    <t>单据发送时间：2025年11月
水电费缴费的月份：2025年10月
802
2025年11月水表值：120  
2025年10月水表值：114
水分摊：1  
水价格：4.3
2025年10月用水量：7 
水费：30.1 
2025年11月电表值：6360  
2025年10月电表值：6152
电分摊：10  
电价格：0.72
2025年10月用电量：218
电费：156.96
管理费：22
总额：209.06</t>
  </si>
  <si>
    <t>单据发送时间：2025年11月
水电费缴费的月份：2025年10月
803
2025年11月水表值：119  
2025年10月水表值：116
水分摊：1  
水价格：4.3
2025年10月用水量：4 
水费：17.2 
2025年11月电表值：8115  
2025年10月电表值：7965
电分摊：10  
电价格：0.72
2025年10月用电量：160
电费：115.2
管理费：22
总额：154.4</t>
  </si>
  <si>
    <t>单据发送时间：2025年11月
水电费缴费的月份：2025年10月
804
2025年11月水表值：257  
2025年10月水表值：246
水分摊：1  
水价格：4.3
2025年10月用水量：12 
水费：51.6 
2025年11月电表值：8962  
2025年10月电表值：8797
电分摊：10  
电价格：0.72
2025年10月用电量：175
电费：126
管理费：22
总额：199.6</t>
  </si>
  <si>
    <t>总表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</si>
</sst>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4_Accent1 1" pivot="0" count="7" xr9:uid="{0AB127DC-2A10-4227-AAE5-0DFBEB02A6D9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_245678910111213141516171819202122233" displayName="表2_245678910111213141516171819202122233" ref="A1:T29">
  <autoFilter xmlns:etc="http://www.wps.cn/officeDocument/2017/etCustomData" ref="A1:T29" etc:filterBottomFollowUsedRange="0"/>
  <tableColumns count="20">
    <tableColumn id="1" name="住户" totalsRowLabel="汇总"/>
    <tableColumn id="2" name="抄表水"/>
    <tableColumn id="3" name="上月水"/>
    <tableColumn id="4" name="水加差"/>
    <tableColumn id="5" name="water"/>
    <tableColumn id="6" name="抄表电"/>
    <tableColumn id="7" name="上月电"/>
    <tableColumn id="8" name="电加差"/>
    <tableColumn id="9" name="electric"/>
    <tableColumn id="10" name="manage"/>
    <tableColumn id="11" name="totalWater"/>
    <tableColumn id="12" name="totalEle"/>
    <tableColumn id="13" name="month"/>
    <tableColumn id="14" name="mon"/>
    <tableColumn id="15" name="monthReal2"/>
    <tableColumn id="16" name="总费用"/>
    <tableColumn id="17" name="其他费用"/>
    <tableColumn id="18" name="水单价"/>
    <tableColumn id="19" name="电单价"/>
    <tableColumn id="20" name="单据发送时间：monthReal2&#10;水电费缴费的月份：month&#10;住户&#10;mon水表值：抄表水  &#10;month水表值：上月水&#10;水分摊：水加差  &#10;水价格：水单价&#10;month用水量：water &#10;水费：totalWater &#10;mon电表值：抄表电  &#10;month电表值：上月电&#10;电分摊：电加差  &#10;电价格：电单价&#10;month用电量：electric&#10;电费：totalEle&#10;管理费：manage&#10;总额：总费用" totalsRowFunction="sum"/>
  </tableColumns>
  <tableStyleInfo name="TableStylePreset4_Accent1 1" showFirstColumn="1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zoomScale="73" zoomScaleNormal="73" workbookViewId="0">
      <selection activeCell="H54" sqref="H54"/>
    </sheetView>
  </sheetViews>
  <sheetFormatPr defaultColWidth="9.90833333333333" defaultRowHeight="13.5"/>
  <cols>
    <col min="1" max="1" width="9.23333333333333" style="1"/>
    <col min="2" max="3" width="9.69166666666667" style="1"/>
    <col min="4" max="4" width="9.23333333333333" style="1"/>
    <col min="5" max="5" width="10.7666666666667" style="1"/>
    <col min="6" max="12" width="9.23333333333333" style="1"/>
    <col min="13" max="13" width="16.675" style="1" customWidth="1"/>
    <col min="14" max="14" width="12.1666666666667" style="1" customWidth="1"/>
    <col min="15" max="15" width="11.4416666666667" style="1" customWidth="1"/>
    <col min="16" max="20" width="9.23333333333333" style="1"/>
    <col min="21" max="16384" width="9.23333333333333"/>
  </cols>
  <sheetData>
    <row r="1" ht="17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14" customHeight="1" spans="1:20">
      <c r="A2" s="3" t="s">
        <v>20</v>
      </c>
      <c r="B2" s="3">
        <v>1168</v>
      </c>
      <c r="C2" s="3">
        <v>1117</v>
      </c>
      <c r="D2" s="3">
        <v>1</v>
      </c>
      <c r="E2" s="3">
        <f t="shared" ref="E2:E28" si="0">B2-C2+D2</f>
        <v>52</v>
      </c>
      <c r="F2" s="3">
        <v>3439</v>
      </c>
      <c r="G2" s="3">
        <v>3057</v>
      </c>
      <c r="H2" s="3">
        <v>10</v>
      </c>
      <c r="I2" s="3">
        <f t="shared" ref="I2:I28" si="1">F2-G2+H2</f>
        <v>392</v>
      </c>
      <c r="J2" s="3">
        <v>9</v>
      </c>
      <c r="K2" s="3">
        <f t="shared" ref="K2:K28" si="2">E2*R2</f>
        <v>223.6</v>
      </c>
      <c r="L2" s="3">
        <f t="shared" ref="L2:L28" si="3">I2*S2</f>
        <v>282.24</v>
      </c>
      <c r="M2" s="4">
        <v>45931</v>
      </c>
      <c r="N2" s="4">
        <v>45962</v>
      </c>
      <c r="O2" s="5">
        <v>45962</v>
      </c>
      <c r="P2" s="3">
        <f t="shared" ref="P2:P28" si="4">J2+K2+L2+Q2</f>
        <v>514.84</v>
      </c>
      <c r="Q2" s="6"/>
      <c r="R2" s="3">
        <v>4.3</v>
      </c>
      <c r="S2" s="3">
        <v>0.72</v>
      </c>
      <c r="T2" s="7" t="s">
        <v>21</v>
      </c>
    </row>
    <row r="3" ht="14" customHeight="1" spans="1:20">
      <c r="A3" s="3" t="s">
        <v>22</v>
      </c>
      <c r="B3" s="3">
        <v>2498</v>
      </c>
      <c r="C3" s="3">
        <v>2491</v>
      </c>
      <c r="D3" s="3">
        <v>1</v>
      </c>
      <c r="E3" s="3">
        <f t="shared" si="0"/>
        <v>8</v>
      </c>
      <c r="F3" s="3">
        <v>6984</v>
      </c>
      <c r="G3" s="3">
        <v>6567</v>
      </c>
      <c r="H3" s="3">
        <v>10</v>
      </c>
      <c r="I3" s="3">
        <f t="shared" si="1"/>
        <v>427</v>
      </c>
      <c r="J3" s="3">
        <v>9</v>
      </c>
      <c r="K3" s="3">
        <f t="shared" si="2"/>
        <v>34.4</v>
      </c>
      <c r="L3" s="3">
        <f t="shared" si="3"/>
        <v>307.44</v>
      </c>
      <c r="M3" s="4">
        <v>45932</v>
      </c>
      <c r="N3" s="4">
        <v>45963</v>
      </c>
      <c r="O3" s="5">
        <v>45963</v>
      </c>
      <c r="P3" s="3">
        <f t="shared" si="4"/>
        <v>350.84</v>
      </c>
      <c r="Q3" s="6"/>
      <c r="R3" s="3">
        <v>4.3</v>
      </c>
      <c r="S3" s="3">
        <v>0.72</v>
      </c>
      <c r="T3" s="7" t="s">
        <v>23</v>
      </c>
    </row>
    <row r="4" spans="1:20">
      <c r="A4" s="3">
        <v>101</v>
      </c>
      <c r="B4" s="3">
        <v>2893</v>
      </c>
      <c r="C4" s="3">
        <v>2870</v>
      </c>
      <c r="D4" s="3">
        <v>1</v>
      </c>
      <c r="E4" s="3">
        <f t="shared" si="0"/>
        <v>24</v>
      </c>
      <c r="F4" s="3">
        <v>7660</v>
      </c>
      <c r="G4" s="3">
        <v>7264</v>
      </c>
      <c r="H4" s="3">
        <v>10</v>
      </c>
      <c r="I4" s="3">
        <f t="shared" si="1"/>
        <v>406</v>
      </c>
      <c r="J4" s="3">
        <v>22</v>
      </c>
      <c r="K4" s="3">
        <f t="shared" si="2"/>
        <v>103.2</v>
      </c>
      <c r="L4" s="3">
        <f t="shared" si="3"/>
        <v>292.32</v>
      </c>
      <c r="M4" s="4">
        <v>45933</v>
      </c>
      <c r="N4" s="4">
        <v>45964</v>
      </c>
      <c r="O4" s="5">
        <v>45964</v>
      </c>
      <c r="P4" s="3">
        <f t="shared" si="4"/>
        <v>417.52</v>
      </c>
      <c r="Q4" s="6"/>
      <c r="R4" s="3">
        <v>4.3</v>
      </c>
      <c r="S4" s="3">
        <v>0.72</v>
      </c>
      <c r="T4" s="6" t="s">
        <v>24</v>
      </c>
    </row>
    <row r="5" spans="1:20">
      <c r="A5" s="3">
        <v>103</v>
      </c>
      <c r="B5" s="3">
        <v>1699</v>
      </c>
      <c r="C5" s="3">
        <v>1694</v>
      </c>
      <c r="D5" s="3">
        <v>1</v>
      </c>
      <c r="E5" s="3">
        <f t="shared" si="0"/>
        <v>6</v>
      </c>
      <c r="F5" s="3">
        <v>1381</v>
      </c>
      <c r="G5" s="3">
        <v>1001</v>
      </c>
      <c r="H5" s="3">
        <v>10</v>
      </c>
      <c r="I5" s="3">
        <f t="shared" si="1"/>
        <v>390</v>
      </c>
      <c r="J5" s="3">
        <v>22</v>
      </c>
      <c r="K5" s="3">
        <f t="shared" si="2"/>
        <v>25.8</v>
      </c>
      <c r="L5" s="3">
        <f t="shared" si="3"/>
        <v>280.8</v>
      </c>
      <c r="M5" s="4">
        <v>45934</v>
      </c>
      <c r="N5" s="4">
        <v>45965</v>
      </c>
      <c r="O5" s="5">
        <v>45965</v>
      </c>
      <c r="P5" s="3">
        <f t="shared" si="4"/>
        <v>328.6</v>
      </c>
      <c r="Q5" s="6"/>
      <c r="R5" s="3">
        <v>4.3</v>
      </c>
      <c r="S5" s="3">
        <v>0.72</v>
      </c>
      <c r="T5" s="6" t="s">
        <v>25</v>
      </c>
    </row>
    <row r="6" spans="1:20">
      <c r="A6" s="3">
        <v>201</v>
      </c>
      <c r="B6" s="3">
        <v>1626</v>
      </c>
      <c r="C6" s="3">
        <v>1616</v>
      </c>
      <c r="D6" s="3">
        <v>1</v>
      </c>
      <c r="E6" s="3">
        <f t="shared" si="0"/>
        <v>11</v>
      </c>
      <c r="F6" s="3">
        <v>6056</v>
      </c>
      <c r="G6" s="3">
        <v>5969</v>
      </c>
      <c r="H6" s="3">
        <v>10</v>
      </c>
      <c r="I6" s="3">
        <f t="shared" si="1"/>
        <v>97</v>
      </c>
      <c r="J6" s="3">
        <v>22</v>
      </c>
      <c r="K6" s="3">
        <f t="shared" si="2"/>
        <v>47.3</v>
      </c>
      <c r="L6" s="3">
        <f t="shared" si="3"/>
        <v>69.84</v>
      </c>
      <c r="M6" s="4">
        <v>45935</v>
      </c>
      <c r="N6" s="4">
        <v>45966</v>
      </c>
      <c r="O6" s="5">
        <v>45966</v>
      </c>
      <c r="P6" s="3">
        <f t="shared" si="4"/>
        <v>139.14</v>
      </c>
      <c r="Q6" s="6"/>
      <c r="R6" s="3">
        <v>4.3</v>
      </c>
      <c r="S6" s="3">
        <v>0.72</v>
      </c>
      <c r="T6" s="6" t="s">
        <v>26</v>
      </c>
    </row>
    <row r="7" spans="1:20">
      <c r="A7" s="3">
        <v>202</v>
      </c>
      <c r="B7" s="3">
        <v>1887</v>
      </c>
      <c r="C7" s="3">
        <v>1875</v>
      </c>
      <c r="D7" s="3">
        <v>1</v>
      </c>
      <c r="E7" s="3">
        <f t="shared" si="0"/>
        <v>13</v>
      </c>
      <c r="F7" s="3">
        <v>1371</v>
      </c>
      <c r="G7" s="3">
        <v>1250</v>
      </c>
      <c r="H7" s="3">
        <v>10</v>
      </c>
      <c r="I7" s="3">
        <f t="shared" si="1"/>
        <v>131</v>
      </c>
      <c r="J7" s="3">
        <v>22</v>
      </c>
      <c r="K7" s="3">
        <f t="shared" si="2"/>
        <v>55.9</v>
      </c>
      <c r="L7" s="3">
        <f t="shared" si="3"/>
        <v>94.32</v>
      </c>
      <c r="M7" s="4">
        <v>45936</v>
      </c>
      <c r="N7" s="4">
        <v>45967</v>
      </c>
      <c r="O7" s="5">
        <v>45967</v>
      </c>
      <c r="P7" s="3">
        <f t="shared" si="4"/>
        <v>172.22</v>
      </c>
      <c r="Q7" s="6"/>
      <c r="R7" s="3">
        <v>4.3</v>
      </c>
      <c r="S7" s="3">
        <v>0.72</v>
      </c>
      <c r="T7" s="6" t="s">
        <v>27</v>
      </c>
    </row>
    <row r="8" spans="1:20">
      <c r="A8" s="3">
        <v>203</v>
      </c>
      <c r="B8" s="3">
        <v>1202</v>
      </c>
      <c r="C8" s="3">
        <v>1199</v>
      </c>
      <c r="D8" s="3">
        <v>1</v>
      </c>
      <c r="E8" s="3">
        <f t="shared" si="0"/>
        <v>4</v>
      </c>
      <c r="F8" s="3">
        <v>2824</v>
      </c>
      <c r="G8" s="3">
        <v>2824</v>
      </c>
      <c r="H8" s="3">
        <v>10</v>
      </c>
      <c r="I8" s="3">
        <f t="shared" si="1"/>
        <v>10</v>
      </c>
      <c r="J8" s="3">
        <v>22</v>
      </c>
      <c r="K8" s="3">
        <f t="shared" si="2"/>
        <v>17.2</v>
      </c>
      <c r="L8" s="3">
        <f t="shared" si="3"/>
        <v>7.2</v>
      </c>
      <c r="M8" s="4">
        <v>45937</v>
      </c>
      <c r="N8" s="4">
        <v>45968</v>
      </c>
      <c r="O8" s="5">
        <v>45968</v>
      </c>
      <c r="P8" s="3">
        <f t="shared" si="4"/>
        <v>46.4</v>
      </c>
      <c r="Q8" s="6"/>
      <c r="R8" s="3">
        <v>4.3</v>
      </c>
      <c r="S8" s="3">
        <v>0.72</v>
      </c>
      <c r="T8" s="6" t="s">
        <v>28</v>
      </c>
    </row>
    <row r="9" spans="1:20">
      <c r="A9" s="3">
        <v>204</v>
      </c>
      <c r="B9" s="3">
        <v>1278</v>
      </c>
      <c r="C9" s="3">
        <v>1278</v>
      </c>
      <c r="D9" s="3">
        <v>1</v>
      </c>
      <c r="E9" s="3">
        <f t="shared" si="0"/>
        <v>1</v>
      </c>
      <c r="F9" s="3">
        <v>7719</v>
      </c>
      <c r="G9" s="3">
        <v>7719</v>
      </c>
      <c r="H9" s="3">
        <v>10</v>
      </c>
      <c r="I9" s="3">
        <f t="shared" si="1"/>
        <v>10</v>
      </c>
      <c r="J9" s="3">
        <v>22</v>
      </c>
      <c r="K9" s="3">
        <f t="shared" si="2"/>
        <v>4.3</v>
      </c>
      <c r="L9" s="3">
        <f t="shared" si="3"/>
        <v>7.2</v>
      </c>
      <c r="M9" s="4">
        <v>45938</v>
      </c>
      <c r="N9" s="4">
        <v>45969</v>
      </c>
      <c r="O9" s="5">
        <v>45969</v>
      </c>
      <c r="P9" s="3">
        <f t="shared" si="4"/>
        <v>33.5</v>
      </c>
      <c r="Q9" s="6"/>
      <c r="R9" s="3">
        <v>4.3</v>
      </c>
      <c r="S9" s="3">
        <v>0.72</v>
      </c>
      <c r="T9" s="6" t="s">
        <v>29</v>
      </c>
    </row>
    <row r="10" spans="1:20">
      <c r="A10" s="3">
        <v>301</v>
      </c>
      <c r="B10" s="3">
        <v>1811</v>
      </c>
      <c r="C10" s="3">
        <v>1807</v>
      </c>
      <c r="D10" s="3">
        <v>1</v>
      </c>
      <c r="E10" s="3">
        <f t="shared" si="0"/>
        <v>5</v>
      </c>
      <c r="F10" s="3">
        <v>8563</v>
      </c>
      <c r="G10" s="3">
        <v>8378</v>
      </c>
      <c r="H10" s="3">
        <v>10</v>
      </c>
      <c r="I10" s="3">
        <f t="shared" si="1"/>
        <v>195</v>
      </c>
      <c r="J10" s="3">
        <v>22</v>
      </c>
      <c r="K10" s="3">
        <f t="shared" si="2"/>
        <v>21.5</v>
      </c>
      <c r="L10" s="3">
        <f t="shared" si="3"/>
        <v>140.4</v>
      </c>
      <c r="M10" s="4">
        <v>45939</v>
      </c>
      <c r="N10" s="4">
        <v>45970</v>
      </c>
      <c r="O10" s="5">
        <v>45970</v>
      </c>
      <c r="P10" s="3">
        <f t="shared" si="4"/>
        <v>183.9</v>
      </c>
      <c r="Q10" s="6"/>
      <c r="R10" s="3">
        <v>4.3</v>
      </c>
      <c r="S10" s="3">
        <v>0.72</v>
      </c>
      <c r="T10" s="6" t="s">
        <v>30</v>
      </c>
    </row>
    <row r="11" spans="1:20">
      <c r="A11" s="3">
        <v>302</v>
      </c>
      <c r="B11" s="3">
        <v>2695</v>
      </c>
      <c r="C11" s="3">
        <v>2681</v>
      </c>
      <c r="D11" s="3">
        <v>1</v>
      </c>
      <c r="E11" s="3">
        <f t="shared" si="0"/>
        <v>15</v>
      </c>
      <c r="F11" s="3">
        <v>6363</v>
      </c>
      <c r="G11" s="3">
        <v>6140</v>
      </c>
      <c r="H11" s="3">
        <v>10</v>
      </c>
      <c r="I11" s="3">
        <f t="shared" si="1"/>
        <v>233</v>
      </c>
      <c r="J11" s="3">
        <v>22</v>
      </c>
      <c r="K11" s="3">
        <f t="shared" si="2"/>
        <v>64.5</v>
      </c>
      <c r="L11" s="3">
        <f t="shared" si="3"/>
        <v>167.76</v>
      </c>
      <c r="M11" s="4">
        <v>45940</v>
      </c>
      <c r="N11" s="4">
        <v>45971</v>
      </c>
      <c r="O11" s="5">
        <v>45971</v>
      </c>
      <c r="P11" s="3">
        <f t="shared" si="4"/>
        <v>254.26</v>
      </c>
      <c r="Q11" s="6"/>
      <c r="R11" s="3">
        <v>4.3</v>
      </c>
      <c r="S11" s="3">
        <v>0.72</v>
      </c>
      <c r="T11" s="6" t="s">
        <v>31</v>
      </c>
    </row>
    <row r="12" spans="1:20">
      <c r="A12" s="3">
        <v>401</v>
      </c>
      <c r="B12" s="3">
        <v>2710</v>
      </c>
      <c r="C12" s="3">
        <v>2710</v>
      </c>
      <c r="D12" s="3">
        <v>1</v>
      </c>
      <c r="E12" s="3">
        <f t="shared" si="0"/>
        <v>1</v>
      </c>
      <c r="F12" s="3">
        <v>4158</v>
      </c>
      <c r="G12" s="3">
        <v>3794</v>
      </c>
      <c r="H12" s="3">
        <v>10</v>
      </c>
      <c r="I12" s="3">
        <f t="shared" si="1"/>
        <v>374</v>
      </c>
      <c r="J12" s="3">
        <v>22</v>
      </c>
      <c r="K12" s="3">
        <f t="shared" si="2"/>
        <v>4.3</v>
      </c>
      <c r="L12" s="3">
        <f t="shared" si="3"/>
        <v>269.28</v>
      </c>
      <c r="M12" s="4">
        <v>45941</v>
      </c>
      <c r="N12" s="4">
        <v>45972</v>
      </c>
      <c r="O12" s="5">
        <v>45972</v>
      </c>
      <c r="P12" s="3">
        <f t="shared" si="4"/>
        <v>295.58</v>
      </c>
      <c r="Q12" s="6"/>
      <c r="R12" s="3">
        <v>4.3</v>
      </c>
      <c r="S12" s="3">
        <v>0.72</v>
      </c>
      <c r="T12" s="6" t="s">
        <v>32</v>
      </c>
    </row>
    <row r="13" spans="1:20">
      <c r="A13" s="3">
        <v>402</v>
      </c>
      <c r="B13" s="3">
        <v>2984</v>
      </c>
      <c r="C13" s="3">
        <v>2975</v>
      </c>
      <c r="D13" s="3">
        <v>1</v>
      </c>
      <c r="E13" s="3">
        <f t="shared" si="0"/>
        <v>10</v>
      </c>
      <c r="F13" s="3">
        <v>10240</v>
      </c>
      <c r="G13" s="3">
        <v>9718</v>
      </c>
      <c r="H13" s="3">
        <v>10</v>
      </c>
      <c r="I13" s="3">
        <f t="shared" si="1"/>
        <v>532</v>
      </c>
      <c r="J13" s="3">
        <v>22</v>
      </c>
      <c r="K13" s="3">
        <f t="shared" si="2"/>
        <v>43</v>
      </c>
      <c r="L13" s="3">
        <f t="shared" si="3"/>
        <v>383.04</v>
      </c>
      <c r="M13" s="4">
        <v>45942</v>
      </c>
      <c r="N13" s="4">
        <v>45973</v>
      </c>
      <c r="O13" s="5">
        <v>45973</v>
      </c>
      <c r="P13" s="3">
        <f t="shared" si="4"/>
        <v>448.04</v>
      </c>
      <c r="Q13" s="6"/>
      <c r="R13" s="3">
        <v>4.3</v>
      </c>
      <c r="S13" s="3">
        <v>0.72</v>
      </c>
      <c r="T13" s="6" t="s">
        <v>33</v>
      </c>
    </row>
    <row r="14" spans="1:20">
      <c r="A14" s="3">
        <v>501</v>
      </c>
      <c r="B14" s="3">
        <v>180</v>
      </c>
      <c r="C14" s="3">
        <v>171</v>
      </c>
      <c r="D14" s="3">
        <v>1</v>
      </c>
      <c r="E14" s="3">
        <f t="shared" si="0"/>
        <v>10</v>
      </c>
      <c r="F14" s="3">
        <v>7665</v>
      </c>
      <c r="G14" s="3">
        <v>7598</v>
      </c>
      <c r="H14" s="3">
        <v>10</v>
      </c>
      <c r="I14" s="3">
        <f t="shared" si="1"/>
        <v>77</v>
      </c>
      <c r="J14" s="3">
        <v>22</v>
      </c>
      <c r="K14" s="3">
        <f t="shared" si="2"/>
        <v>43</v>
      </c>
      <c r="L14" s="3">
        <f t="shared" si="3"/>
        <v>55.44</v>
      </c>
      <c r="M14" s="4">
        <v>45943</v>
      </c>
      <c r="N14" s="4">
        <v>45974</v>
      </c>
      <c r="O14" s="5">
        <v>45974</v>
      </c>
      <c r="P14" s="3">
        <f t="shared" si="4"/>
        <v>120.44</v>
      </c>
      <c r="Q14" s="6"/>
      <c r="R14" s="3">
        <v>4.3</v>
      </c>
      <c r="S14" s="3">
        <v>0.72</v>
      </c>
      <c r="T14" s="6" t="s">
        <v>34</v>
      </c>
    </row>
    <row r="15" spans="1:20">
      <c r="A15" s="3">
        <v>502</v>
      </c>
      <c r="B15" s="3">
        <v>1078</v>
      </c>
      <c r="C15" s="3">
        <v>1078</v>
      </c>
      <c r="D15" s="3">
        <v>1</v>
      </c>
      <c r="E15" s="3">
        <f t="shared" si="0"/>
        <v>1</v>
      </c>
      <c r="F15" s="3">
        <v>5301</v>
      </c>
      <c r="G15" s="3">
        <v>5252</v>
      </c>
      <c r="H15" s="3">
        <v>10</v>
      </c>
      <c r="I15" s="3">
        <f t="shared" si="1"/>
        <v>59</v>
      </c>
      <c r="J15" s="3">
        <v>22</v>
      </c>
      <c r="K15" s="3">
        <f t="shared" si="2"/>
        <v>4.3</v>
      </c>
      <c r="L15" s="3">
        <f t="shared" si="3"/>
        <v>42.48</v>
      </c>
      <c r="M15" s="4">
        <v>45944</v>
      </c>
      <c r="N15" s="4">
        <v>45975</v>
      </c>
      <c r="O15" s="5">
        <v>45975</v>
      </c>
      <c r="P15" s="3">
        <f t="shared" si="4"/>
        <v>68.78</v>
      </c>
      <c r="Q15" s="6"/>
      <c r="R15" s="3">
        <v>4.3</v>
      </c>
      <c r="S15" s="3">
        <v>0.72</v>
      </c>
      <c r="T15" s="6" t="s">
        <v>35</v>
      </c>
    </row>
    <row r="16" spans="1:20">
      <c r="A16" s="3">
        <v>503</v>
      </c>
      <c r="B16" s="3">
        <v>961</v>
      </c>
      <c r="C16" s="3">
        <v>954</v>
      </c>
      <c r="D16" s="3">
        <v>1</v>
      </c>
      <c r="E16" s="3">
        <f t="shared" si="0"/>
        <v>8</v>
      </c>
      <c r="F16" s="3">
        <v>7673</v>
      </c>
      <c r="G16" s="3">
        <v>7560</v>
      </c>
      <c r="H16" s="3">
        <v>10</v>
      </c>
      <c r="I16" s="3">
        <f t="shared" si="1"/>
        <v>123</v>
      </c>
      <c r="J16" s="3">
        <v>22</v>
      </c>
      <c r="K16" s="3">
        <f t="shared" si="2"/>
        <v>34.4</v>
      </c>
      <c r="L16" s="3">
        <f t="shared" si="3"/>
        <v>88.56</v>
      </c>
      <c r="M16" s="4">
        <v>45945</v>
      </c>
      <c r="N16" s="4">
        <v>45976</v>
      </c>
      <c r="O16" s="5">
        <v>45976</v>
      </c>
      <c r="P16" s="3">
        <f t="shared" si="4"/>
        <v>144.96</v>
      </c>
      <c r="Q16" s="6"/>
      <c r="R16" s="3">
        <v>4.3</v>
      </c>
      <c r="S16" s="3">
        <v>0.72</v>
      </c>
      <c r="T16" s="6" t="s">
        <v>36</v>
      </c>
    </row>
    <row r="17" spans="1:20">
      <c r="A17" s="3">
        <v>504</v>
      </c>
      <c r="B17" s="3">
        <v>1434</v>
      </c>
      <c r="C17" s="3">
        <v>1428</v>
      </c>
      <c r="D17" s="3">
        <v>1</v>
      </c>
      <c r="E17" s="3">
        <f t="shared" si="0"/>
        <v>7</v>
      </c>
      <c r="F17" s="3">
        <v>1170</v>
      </c>
      <c r="G17" s="3">
        <v>1025</v>
      </c>
      <c r="H17" s="3">
        <v>10</v>
      </c>
      <c r="I17" s="3">
        <f t="shared" si="1"/>
        <v>155</v>
      </c>
      <c r="J17" s="3">
        <v>22</v>
      </c>
      <c r="K17" s="3">
        <f t="shared" si="2"/>
        <v>30.1</v>
      </c>
      <c r="L17" s="3">
        <f t="shared" si="3"/>
        <v>111.6</v>
      </c>
      <c r="M17" s="4">
        <v>45946</v>
      </c>
      <c r="N17" s="4">
        <v>45977</v>
      </c>
      <c r="O17" s="5">
        <v>45977</v>
      </c>
      <c r="P17" s="3">
        <f t="shared" si="4"/>
        <v>163.7</v>
      </c>
      <c r="Q17" s="6"/>
      <c r="R17" s="3">
        <v>4.3</v>
      </c>
      <c r="S17" s="3">
        <v>0.72</v>
      </c>
      <c r="T17" s="6" t="s">
        <v>37</v>
      </c>
    </row>
    <row r="18" spans="1:20">
      <c r="A18" s="3">
        <v>601</v>
      </c>
      <c r="B18" s="3">
        <v>2200</v>
      </c>
      <c r="C18" s="3">
        <v>2196</v>
      </c>
      <c r="D18" s="3">
        <v>1</v>
      </c>
      <c r="E18" s="3">
        <f t="shared" si="0"/>
        <v>5</v>
      </c>
      <c r="F18" s="3">
        <v>7544</v>
      </c>
      <c r="G18" s="3">
        <v>7433</v>
      </c>
      <c r="H18" s="3">
        <v>10</v>
      </c>
      <c r="I18" s="3">
        <f t="shared" si="1"/>
        <v>121</v>
      </c>
      <c r="J18" s="3">
        <v>22</v>
      </c>
      <c r="K18" s="3">
        <f t="shared" si="2"/>
        <v>21.5</v>
      </c>
      <c r="L18" s="3">
        <f t="shared" si="3"/>
        <v>87.12</v>
      </c>
      <c r="M18" s="4">
        <v>45947</v>
      </c>
      <c r="N18" s="4">
        <v>45978</v>
      </c>
      <c r="O18" s="5">
        <v>45978</v>
      </c>
      <c r="P18" s="3">
        <f t="shared" si="4"/>
        <v>130.62</v>
      </c>
      <c r="Q18" s="6"/>
      <c r="R18" s="3">
        <v>4.3</v>
      </c>
      <c r="S18" s="3">
        <v>0.72</v>
      </c>
      <c r="T18" s="6" t="s">
        <v>38</v>
      </c>
    </row>
    <row r="19" spans="1:20">
      <c r="A19" s="3">
        <v>602</v>
      </c>
      <c r="B19" s="3">
        <v>352</v>
      </c>
      <c r="C19" s="3">
        <v>349</v>
      </c>
      <c r="D19" s="3">
        <v>1</v>
      </c>
      <c r="E19" s="3">
        <f t="shared" si="0"/>
        <v>4</v>
      </c>
      <c r="F19" s="3">
        <v>8184</v>
      </c>
      <c r="G19" s="3">
        <v>8113</v>
      </c>
      <c r="H19" s="3">
        <v>10</v>
      </c>
      <c r="I19" s="3">
        <f t="shared" si="1"/>
        <v>81</v>
      </c>
      <c r="J19" s="3">
        <v>22</v>
      </c>
      <c r="K19" s="3">
        <f t="shared" si="2"/>
        <v>17.2</v>
      </c>
      <c r="L19" s="3">
        <f t="shared" si="3"/>
        <v>58.32</v>
      </c>
      <c r="M19" s="4">
        <v>45948</v>
      </c>
      <c r="N19" s="4">
        <v>45979</v>
      </c>
      <c r="O19" s="5">
        <v>45979</v>
      </c>
      <c r="P19" s="3">
        <f t="shared" si="4"/>
        <v>97.52</v>
      </c>
      <c r="Q19" s="6"/>
      <c r="R19" s="3">
        <v>4.3</v>
      </c>
      <c r="S19" s="3">
        <v>0.72</v>
      </c>
      <c r="T19" s="6" t="s">
        <v>39</v>
      </c>
    </row>
    <row r="20" spans="1:20">
      <c r="A20" s="3">
        <v>603</v>
      </c>
      <c r="B20" s="3">
        <v>1534</v>
      </c>
      <c r="C20" s="3">
        <v>1517</v>
      </c>
      <c r="D20" s="3">
        <v>1</v>
      </c>
      <c r="E20" s="3">
        <f t="shared" si="0"/>
        <v>18</v>
      </c>
      <c r="F20" s="3">
        <v>6879</v>
      </c>
      <c r="G20" s="3">
        <v>6783</v>
      </c>
      <c r="H20" s="3">
        <v>10</v>
      </c>
      <c r="I20" s="3">
        <f t="shared" si="1"/>
        <v>106</v>
      </c>
      <c r="J20" s="3">
        <v>22</v>
      </c>
      <c r="K20" s="3">
        <f t="shared" si="2"/>
        <v>77.4</v>
      </c>
      <c r="L20" s="3">
        <f t="shared" si="3"/>
        <v>76.32</v>
      </c>
      <c r="M20" s="4">
        <v>45949</v>
      </c>
      <c r="N20" s="4">
        <v>45980</v>
      </c>
      <c r="O20" s="5">
        <v>45980</v>
      </c>
      <c r="P20" s="3">
        <f t="shared" si="4"/>
        <v>175.72</v>
      </c>
      <c r="Q20" s="6"/>
      <c r="R20" s="3">
        <v>4.3</v>
      </c>
      <c r="S20" s="3">
        <v>0.72</v>
      </c>
      <c r="T20" s="6" t="s">
        <v>40</v>
      </c>
    </row>
    <row r="21" spans="1:20">
      <c r="A21" s="3">
        <v>604</v>
      </c>
      <c r="B21" s="3">
        <v>693</v>
      </c>
      <c r="C21" s="3">
        <v>693</v>
      </c>
      <c r="D21" s="3">
        <v>1</v>
      </c>
      <c r="E21" s="3">
        <f t="shared" si="0"/>
        <v>1</v>
      </c>
      <c r="F21" s="3">
        <v>5656</v>
      </c>
      <c r="G21" s="3">
        <v>5656</v>
      </c>
      <c r="H21" s="3">
        <v>10</v>
      </c>
      <c r="I21" s="3">
        <f t="shared" si="1"/>
        <v>10</v>
      </c>
      <c r="J21" s="3">
        <v>22</v>
      </c>
      <c r="K21" s="3">
        <f t="shared" si="2"/>
        <v>4.3</v>
      </c>
      <c r="L21" s="3">
        <f t="shared" si="3"/>
        <v>7.2</v>
      </c>
      <c r="M21" s="4">
        <v>45950</v>
      </c>
      <c r="N21" s="4">
        <v>45981</v>
      </c>
      <c r="O21" s="5">
        <v>45981</v>
      </c>
      <c r="P21" s="3">
        <f t="shared" si="4"/>
        <v>33.5</v>
      </c>
      <c r="Q21" s="6"/>
      <c r="R21" s="3">
        <v>4.3</v>
      </c>
      <c r="S21" s="3">
        <v>0.72</v>
      </c>
      <c r="T21" s="6" t="s">
        <v>41</v>
      </c>
    </row>
    <row r="22" spans="1:20">
      <c r="A22" s="3">
        <v>701</v>
      </c>
      <c r="B22" s="3">
        <v>233</v>
      </c>
      <c r="C22" s="3">
        <v>224</v>
      </c>
      <c r="D22" s="3">
        <v>1</v>
      </c>
      <c r="E22" s="3">
        <f t="shared" si="0"/>
        <v>10</v>
      </c>
      <c r="F22" s="3">
        <v>1439</v>
      </c>
      <c r="G22" s="3">
        <v>1192</v>
      </c>
      <c r="H22" s="3">
        <v>10</v>
      </c>
      <c r="I22" s="3">
        <f t="shared" si="1"/>
        <v>257</v>
      </c>
      <c r="J22" s="3">
        <v>22</v>
      </c>
      <c r="K22" s="3">
        <f t="shared" si="2"/>
        <v>43</v>
      </c>
      <c r="L22" s="3">
        <f t="shared" si="3"/>
        <v>185.04</v>
      </c>
      <c r="M22" s="4">
        <v>45951</v>
      </c>
      <c r="N22" s="4">
        <v>45982</v>
      </c>
      <c r="O22" s="5">
        <v>45982</v>
      </c>
      <c r="P22" s="3">
        <f t="shared" si="4"/>
        <v>250.04</v>
      </c>
      <c r="Q22" s="6"/>
      <c r="R22" s="3">
        <v>4.3</v>
      </c>
      <c r="S22" s="3">
        <v>0.72</v>
      </c>
      <c r="T22" s="6" t="s">
        <v>42</v>
      </c>
    </row>
    <row r="23" spans="1:20">
      <c r="A23" s="3">
        <v>702</v>
      </c>
      <c r="B23" s="3">
        <v>1540</v>
      </c>
      <c r="C23" s="3">
        <v>1536</v>
      </c>
      <c r="D23" s="3">
        <v>1</v>
      </c>
      <c r="E23" s="3">
        <f t="shared" si="0"/>
        <v>5</v>
      </c>
      <c r="F23" s="3">
        <v>2457</v>
      </c>
      <c r="G23" s="3">
        <v>2451</v>
      </c>
      <c r="H23" s="3">
        <v>10</v>
      </c>
      <c r="I23" s="3">
        <f t="shared" si="1"/>
        <v>16</v>
      </c>
      <c r="J23" s="3">
        <v>22</v>
      </c>
      <c r="K23" s="3">
        <f t="shared" si="2"/>
        <v>21.5</v>
      </c>
      <c r="L23" s="3">
        <f t="shared" si="3"/>
        <v>11.52</v>
      </c>
      <c r="M23" s="4">
        <v>45952</v>
      </c>
      <c r="N23" s="4">
        <v>45983</v>
      </c>
      <c r="O23" s="5">
        <v>45983</v>
      </c>
      <c r="P23" s="3">
        <f t="shared" si="4"/>
        <v>55.02</v>
      </c>
      <c r="Q23" s="6"/>
      <c r="R23" s="3">
        <v>4.3</v>
      </c>
      <c r="S23" s="3">
        <v>0.72</v>
      </c>
      <c r="T23" s="6" t="s">
        <v>43</v>
      </c>
    </row>
    <row r="24" spans="1:20">
      <c r="A24" s="3">
        <v>703</v>
      </c>
      <c r="B24" s="3">
        <v>1455</v>
      </c>
      <c r="C24" s="3">
        <v>1454</v>
      </c>
      <c r="D24" s="3">
        <v>1</v>
      </c>
      <c r="E24" s="3">
        <f t="shared" si="0"/>
        <v>2</v>
      </c>
      <c r="F24" s="3">
        <v>4248</v>
      </c>
      <c r="G24" s="3">
        <v>4111</v>
      </c>
      <c r="H24" s="3">
        <v>10</v>
      </c>
      <c r="I24" s="3">
        <f t="shared" si="1"/>
        <v>147</v>
      </c>
      <c r="J24" s="3">
        <v>22</v>
      </c>
      <c r="K24" s="3">
        <f t="shared" si="2"/>
        <v>8.6</v>
      </c>
      <c r="L24" s="3">
        <f t="shared" si="3"/>
        <v>105.84</v>
      </c>
      <c r="M24" s="4">
        <v>45953</v>
      </c>
      <c r="N24" s="4">
        <v>45984</v>
      </c>
      <c r="O24" s="5">
        <v>45984</v>
      </c>
      <c r="P24" s="3">
        <f t="shared" si="4"/>
        <v>136.44</v>
      </c>
      <c r="Q24" s="6"/>
      <c r="R24" s="3">
        <v>4.3</v>
      </c>
      <c r="S24" s="3">
        <v>0.72</v>
      </c>
      <c r="T24" s="6" t="s">
        <v>44</v>
      </c>
    </row>
    <row r="25" spans="1:20">
      <c r="A25" s="3">
        <v>801</v>
      </c>
      <c r="B25" s="3">
        <v>217</v>
      </c>
      <c r="C25" s="3">
        <v>209</v>
      </c>
      <c r="D25" s="3">
        <v>1</v>
      </c>
      <c r="E25" s="3">
        <f t="shared" si="0"/>
        <v>9</v>
      </c>
      <c r="F25" s="3">
        <v>7290</v>
      </c>
      <c r="G25" s="3">
        <v>7163</v>
      </c>
      <c r="H25" s="3">
        <v>10</v>
      </c>
      <c r="I25" s="3">
        <f t="shared" si="1"/>
        <v>137</v>
      </c>
      <c r="J25" s="3">
        <v>22</v>
      </c>
      <c r="K25" s="3">
        <f t="shared" si="2"/>
        <v>38.7</v>
      </c>
      <c r="L25" s="3">
        <f t="shared" si="3"/>
        <v>98.64</v>
      </c>
      <c r="M25" s="4">
        <v>45954</v>
      </c>
      <c r="N25" s="4">
        <v>45985</v>
      </c>
      <c r="O25" s="5">
        <v>45985</v>
      </c>
      <c r="P25" s="3">
        <f t="shared" si="4"/>
        <v>159.34</v>
      </c>
      <c r="Q25" s="6"/>
      <c r="R25" s="3">
        <v>4.3</v>
      </c>
      <c r="S25" s="3">
        <v>0.72</v>
      </c>
      <c r="T25" s="6" t="s">
        <v>45</v>
      </c>
    </row>
    <row r="26" spans="1:20">
      <c r="A26" s="3">
        <v>802</v>
      </c>
      <c r="B26" s="3">
        <v>120</v>
      </c>
      <c r="C26" s="3">
        <v>114</v>
      </c>
      <c r="D26" s="3">
        <v>1</v>
      </c>
      <c r="E26" s="3">
        <f t="shared" si="0"/>
        <v>7</v>
      </c>
      <c r="F26" s="3">
        <v>6360</v>
      </c>
      <c r="G26" s="3">
        <v>6152</v>
      </c>
      <c r="H26" s="3">
        <v>10</v>
      </c>
      <c r="I26" s="3">
        <f t="shared" si="1"/>
        <v>218</v>
      </c>
      <c r="J26" s="3">
        <v>22</v>
      </c>
      <c r="K26" s="3">
        <f t="shared" si="2"/>
        <v>30.1</v>
      </c>
      <c r="L26" s="3">
        <f t="shared" si="3"/>
        <v>156.96</v>
      </c>
      <c r="M26" s="4">
        <v>45955</v>
      </c>
      <c r="N26" s="4">
        <v>45986</v>
      </c>
      <c r="O26" s="5">
        <v>45986</v>
      </c>
      <c r="P26" s="3">
        <f t="shared" si="4"/>
        <v>209.06</v>
      </c>
      <c r="Q26" s="6"/>
      <c r="R26" s="3">
        <v>4.3</v>
      </c>
      <c r="S26" s="3">
        <v>0.72</v>
      </c>
      <c r="T26" s="6" t="s">
        <v>46</v>
      </c>
    </row>
    <row r="27" spans="1:20">
      <c r="A27" s="3">
        <v>803</v>
      </c>
      <c r="B27" s="3">
        <v>119</v>
      </c>
      <c r="C27" s="3">
        <v>116</v>
      </c>
      <c r="D27" s="3">
        <v>1</v>
      </c>
      <c r="E27" s="3">
        <f t="shared" si="0"/>
        <v>4</v>
      </c>
      <c r="F27" s="3">
        <v>8115</v>
      </c>
      <c r="G27" s="3">
        <v>7965</v>
      </c>
      <c r="H27" s="3">
        <v>10</v>
      </c>
      <c r="I27" s="3">
        <f t="shared" si="1"/>
        <v>160</v>
      </c>
      <c r="J27" s="3">
        <v>22</v>
      </c>
      <c r="K27" s="3">
        <f t="shared" si="2"/>
        <v>17.2</v>
      </c>
      <c r="L27" s="3">
        <f t="shared" si="3"/>
        <v>115.2</v>
      </c>
      <c r="M27" s="4">
        <v>45956</v>
      </c>
      <c r="N27" s="4">
        <v>45987</v>
      </c>
      <c r="O27" s="5">
        <v>45987</v>
      </c>
      <c r="P27" s="3">
        <f t="shared" si="4"/>
        <v>154.4</v>
      </c>
      <c r="Q27" s="6"/>
      <c r="R27" s="3">
        <v>4.3</v>
      </c>
      <c r="S27" s="3">
        <v>0.72</v>
      </c>
      <c r="T27" s="6" t="s">
        <v>47</v>
      </c>
    </row>
    <row r="28" spans="1:20">
      <c r="A28" s="3">
        <v>804</v>
      </c>
      <c r="B28" s="3">
        <v>257</v>
      </c>
      <c r="C28" s="3">
        <v>246</v>
      </c>
      <c r="D28" s="3">
        <v>1</v>
      </c>
      <c r="E28" s="3">
        <f t="shared" si="0"/>
        <v>12</v>
      </c>
      <c r="F28" s="3">
        <v>8962</v>
      </c>
      <c r="G28" s="3">
        <v>8797</v>
      </c>
      <c r="H28" s="3">
        <v>10</v>
      </c>
      <c r="I28" s="3">
        <f t="shared" si="1"/>
        <v>175</v>
      </c>
      <c r="J28" s="3">
        <v>22</v>
      </c>
      <c r="K28" s="3">
        <f t="shared" si="2"/>
        <v>51.6</v>
      </c>
      <c r="L28" s="3">
        <f t="shared" si="3"/>
        <v>126</v>
      </c>
      <c r="M28" s="4">
        <v>45957</v>
      </c>
      <c r="N28" s="4">
        <v>45988</v>
      </c>
      <c r="O28" s="5">
        <v>45988</v>
      </c>
      <c r="P28" s="3">
        <f t="shared" si="4"/>
        <v>199.6</v>
      </c>
      <c r="Q28" s="6"/>
      <c r="R28" s="3">
        <v>4.3</v>
      </c>
      <c r="S28" s="3">
        <v>0.72</v>
      </c>
      <c r="T28" s="6" t="s">
        <v>48</v>
      </c>
    </row>
    <row r="29" spans="1:20">
      <c r="A29" s="3" t="s">
        <v>49</v>
      </c>
      <c r="B29" s="3">
        <v>6769</v>
      </c>
      <c r="C29" s="3">
        <v>6534</v>
      </c>
      <c r="D29" s="3">
        <f>B29-C29</f>
        <v>235</v>
      </c>
      <c r="E29" s="3">
        <f>D29-(SUM(B2:B28)-SUM(C2:C28))</f>
        <v>9</v>
      </c>
      <c r="F29" s="3">
        <v>260904</v>
      </c>
      <c r="G29" s="3">
        <v>255946</v>
      </c>
      <c r="H29" s="3">
        <f>F29-G29</f>
        <v>4958</v>
      </c>
      <c r="I29" s="3">
        <f>H29-(SUM(F2:F28)-SUM(G2:G28))</f>
        <v>189</v>
      </c>
      <c r="J29" s="3"/>
      <c r="K29" s="3"/>
      <c r="L29" s="3"/>
      <c r="M29" s="4">
        <v>45958</v>
      </c>
      <c r="N29" s="4">
        <v>45989</v>
      </c>
      <c r="O29" s="5">
        <v>45989</v>
      </c>
      <c r="P29" s="3"/>
      <c r="Q29" s="6"/>
      <c r="R29" s="3"/>
      <c r="S29" s="3"/>
      <c r="T29" s="6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2025-10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12927</dc:creator>
  <cp:lastModifiedBy>ESLYTF</cp:lastModifiedBy>
  <dcterms:created xsi:type="dcterms:W3CDTF">2025-11-28T16:11:32Z</dcterms:created>
  <dcterms:modified xsi:type="dcterms:W3CDTF">2025-11-28T16:12:02Z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0FFB62DCB2AF47FE907694B068A0BA6C_11</vt:lpwstr>
  </property>
  <property fmtid="{D5CDD505-2E9C-101B-9397-08002B2CF9AE}" pid="3" name="KSOProductBuildVer">
    <vt:lpwstr>2052-12.1.0.23542</vt:lpwstr>
  </property>
</Properties>
</file>